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emence.d/Desktop/EPS/Project one/"/>
    </mc:Choice>
  </mc:AlternateContent>
  <xr:revisionPtr revIDLastSave="0" documentId="13_ncr:1_{D7138741-9C3D-C348-86C5-3F7F8706A0D5}" xr6:coauthVersionLast="47" xr6:coauthVersionMax="47" xr10:uidLastSave="{00000000-0000-0000-0000-000000000000}"/>
  <bookViews>
    <workbookView xWindow="2280" yWindow="500" windowWidth="24940" windowHeight="15780" activeTab="4" xr2:uid="{4F6DD272-2FDB-234F-9569-BBE1C0001CAC}"/>
  </bookViews>
  <sheets>
    <sheet name="P sensitivity(ram 345)" sheetId="4" r:id="rId1"/>
    <sheet name="ram345" sheetId="1" r:id="rId2"/>
    <sheet name="phase shifter" sheetId="3" r:id="rId3"/>
    <sheet name="LTC" sheetId="5" r:id="rId4"/>
    <sheet name="capacitors bank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6" l="1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<sst xmlns="http://schemas.openxmlformats.org/spreadsheetml/2006/main" count="104" uniqueCount="44">
  <si>
    <t>Line</t>
  </si>
  <si>
    <t>Incremental MW</t>
  </si>
  <si>
    <t>from</t>
  </si>
  <si>
    <t>to</t>
  </si>
  <si>
    <t>MW Output changed</t>
  </si>
  <si>
    <t>experimental sensitivity</t>
  </si>
  <si>
    <t>Sensitivity from simulator</t>
  </si>
  <si>
    <t>initial(0)</t>
  </si>
  <si>
    <t>Ram138</t>
  </si>
  <si>
    <t>homer138</t>
  </si>
  <si>
    <t>MW</t>
  </si>
  <si>
    <t>monarch138</t>
  </si>
  <si>
    <t>willow138</t>
  </si>
  <si>
    <t>generator1 willow</t>
  </si>
  <si>
    <t>generator2 lion</t>
  </si>
  <si>
    <t>shifter degree</t>
  </si>
  <si>
    <t>sensitivity</t>
  </si>
  <si>
    <t>Tap setting</t>
  </si>
  <si>
    <t>Total losses(MW)</t>
  </si>
  <si>
    <t>bus no</t>
  </si>
  <si>
    <t>bus name</t>
  </si>
  <si>
    <t>initial losses</t>
  </si>
  <si>
    <t>after losses</t>
  </si>
  <si>
    <t>Bear138</t>
  </si>
  <si>
    <t>peach138</t>
  </si>
  <si>
    <t>rose138</t>
  </si>
  <si>
    <t>illini138</t>
  </si>
  <si>
    <t>hawk345</t>
  </si>
  <si>
    <t>lion345</t>
  </si>
  <si>
    <t>apple345</t>
  </si>
  <si>
    <t>close one capacitor</t>
  </si>
  <si>
    <t>closed</t>
  </si>
  <si>
    <t>holmer138</t>
  </si>
  <si>
    <t xml:space="preserve"> line/transformer flow sensitivities(0--&gt;+30--&gt;-30)</t>
  </si>
  <si>
    <t>LTC</t>
  </si>
  <si>
    <t>HAWK</t>
  </si>
  <si>
    <t>badger</t>
  </si>
  <si>
    <t>bear</t>
  </si>
  <si>
    <t>tiger</t>
  </si>
  <si>
    <t>losses</t>
  </si>
  <si>
    <t>initial position</t>
  </si>
  <si>
    <t>optimal position</t>
  </si>
  <si>
    <t>order to switch on</t>
  </si>
  <si>
    <t>never choose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</si>
</sst>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F7E4-2036-F241-8849-89F8A90B5AE9}">
  <dimension ref="A1"/>
  <sheetViews>
    <sheetView workbookViewId="0">
      <selection activeCell="F31" sqref="F31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5D4C-2676-6549-B4F1-4B98EF30E484}">
  <dimension ref="A1:I27"/>
  <sheetViews>
    <sheetView topLeftCell="A10" zoomScale="132" workbookViewId="0">
      <selection activeCell="H28" sqref="H28"/>
    </sheetView>
  </sheetViews>
  <sheetFormatPr baseColWidth="10" defaultRowHeight="16" x14ac:dyDescent="0.2"/>
  <cols>
    <col min="1" max="1" width="10.83203125" style="1"/>
    <col min="2" max="2" width="11.1640625" style="1" bestFit="1" customWidth="1"/>
    <col min="3" max="3" width="22.33203125" style="1" bestFit="1" customWidth="1"/>
    <col min="4" max="16384" width="10.83203125" style="1"/>
  </cols>
  <sheetData>
    <row r="1" spans="1:9" x14ac:dyDescent="0.2">
      <c r="A1" s="26" t="s">
        <v>13</v>
      </c>
      <c r="B1" s="27"/>
      <c r="C1" s="27"/>
      <c r="D1" s="27"/>
      <c r="E1" s="27"/>
      <c r="F1" s="27"/>
      <c r="G1" s="27"/>
      <c r="H1" s="27"/>
      <c r="I1" s="28"/>
    </row>
    <row r="2" spans="1:9" x14ac:dyDescent="0.2">
      <c r="A2" s="25"/>
      <c r="B2" s="25"/>
      <c r="C2" s="2" t="s">
        <v>1</v>
      </c>
      <c r="D2" s="2" t="s">
        <v>7</v>
      </c>
      <c r="E2" s="2">
        <v>5</v>
      </c>
      <c r="F2" s="2">
        <v>10</v>
      </c>
      <c r="G2" s="2">
        <v>15</v>
      </c>
      <c r="H2" s="2">
        <v>20</v>
      </c>
      <c r="I2" s="2">
        <v>25</v>
      </c>
    </row>
    <row r="3" spans="1:9" x14ac:dyDescent="0.2">
      <c r="A3" s="25" t="s">
        <v>0</v>
      </c>
      <c r="B3" s="25"/>
      <c r="C3" s="2" t="s">
        <v>4</v>
      </c>
      <c r="D3" s="2">
        <v>10</v>
      </c>
      <c r="E3" s="2">
        <v>15</v>
      </c>
      <c r="F3" s="2">
        <v>20</v>
      </c>
      <c r="G3" s="2">
        <v>25</v>
      </c>
      <c r="H3" s="2">
        <v>30</v>
      </c>
      <c r="I3" s="2">
        <v>35</v>
      </c>
    </row>
    <row r="4" spans="1:9" x14ac:dyDescent="0.2">
      <c r="A4" s="2" t="s">
        <v>2</v>
      </c>
      <c r="B4" s="2" t="s">
        <v>3</v>
      </c>
      <c r="C4" s="2"/>
      <c r="D4" s="2"/>
      <c r="E4" s="2"/>
      <c r="F4" s="2"/>
      <c r="G4" s="2"/>
      <c r="H4" s="2"/>
      <c r="I4" s="2"/>
    </row>
    <row r="5" spans="1:9" x14ac:dyDescent="0.2">
      <c r="A5" s="21" t="s">
        <v>8</v>
      </c>
      <c r="B5" s="21" t="s">
        <v>9</v>
      </c>
      <c r="C5" s="2" t="s">
        <v>10</v>
      </c>
      <c r="D5" s="2">
        <v>569.75630000000001</v>
      </c>
      <c r="E5" s="2">
        <v>568.50014999999996</v>
      </c>
      <c r="F5" s="2">
        <v>567.24913000000004</v>
      </c>
      <c r="G5" s="2">
        <v>565.99833999999998</v>
      </c>
      <c r="H5" s="2">
        <v>564.74779000000001</v>
      </c>
      <c r="I5" s="2">
        <v>563.49748</v>
      </c>
    </row>
    <row r="6" spans="1:9" x14ac:dyDescent="0.2">
      <c r="A6" s="22"/>
      <c r="B6" s="22"/>
      <c r="C6" s="2" t="s">
        <v>5</v>
      </c>
      <c r="D6" s="6"/>
      <c r="E6" s="7">
        <v>-0.25123000000000001</v>
      </c>
      <c r="F6" s="6"/>
      <c r="G6" s="6"/>
      <c r="H6" s="6"/>
      <c r="I6" s="6"/>
    </row>
    <row r="7" spans="1:9" x14ac:dyDescent="0.2">
      <c r="A7" s="23"/>
      <c r="B7" s="23"/>
      <c r="C7" s="2" t="s">
        <v>6</v>
      </c>
      <c r="D7" s="2">
        <v>-0.25027500000000003</v>
      </c>
      <c r="E7" s="2">
        <v>-0.25022800000000001</v>
      </c>
      <c r="F7" s="2">
        <v>-0.25018099999999999</v>
      </c>
      <c r="G7" s="2">
        <v>-0.25013299999999999</v>
      </c>
      <c r="H7" s="2">
        <v>-0.25008599999999997</v>
      </c>
      <c r="I7" s="2">
        <v>-0.25003900000000001</v>
      </c>
    </row>
    <row r="8" spans="1:9" x14ac:dyDescent="0.2">
      <c r="A8" s="21" t="s">
        <v>8</v>
      </c>
      <c r="B8" s="21" t="s">
        <v>11</v>
      </c>
      <c r="C8" s="2" t="s">
        <v>10</v>
      </c>
      <c r="D8" s="2">
        <v>664.13994000000002</v>
      </c>
      <c r="E8" s="2">
        <v>663.02787000000001</v>
      </c>
      <c r="F8" s="2">
        <v>661.91908000000001</v>
      </c>
      <c r="G8" s="2">
        <v>660.81047999999998</v>
      </c>
      <c r="H8" s="2">
        <v>659.70208000000002</v>
      </c>
      <c r="I8" s="2">
        <v>658.59387000000004</v>
      </c>
    </row>
    <row r="9" spans="1:9" x14ac:dyDescent="0.2">
      <c r="A9" s="22"/>
      <c r="B9" s="22"/>
      <c r="C9" s="2" t="s">
        <v>5</v>
      </c>
      <c r="D9" s="6"/>
      <c r="E9" s="6"/>
      <c r="F9" s="6"/>
      <c r="G9" s="6"/>
      <c r="H9" s="6"/>
      <c r="I9" s="6"/>
    </row>
    <row r="10" spans="1:9" x14ac:dyDescent="0.2">
      <c r="A10" s="23"/>
      <c r="B10" s="23"/>
      <c r="C10" s="2" t="s">
        <v>6</v>
      </c>
      <c r="D10" s="2">
        <v>-0.22181799999999999</v>
      </c>
      <c r="E10" s="2">
        <v>-0.221779</v>
      </c>
      <c r="F10" s="2">
        <v>-0.22173899999999999</v>
      </c>
      <c r="G10" s="2">
        <v>-0.22170000000000001</v>
      </c>
      <c r="H10" s="2">
        <v>-0.22166</v>
      </c>
      <c r="I10" s="2">
        <v>-0.22162100000000001</v>
      </c>
    </row>
    <row r="11" spans="1:9" x14ac:dyDescent="0.2">
      <c r="A11" s="21" t="s">
        <v>8</v>
      </c>
      <c r="B11" s="21" t="s">
        <v>12</v>
      </c>
      <c r="C11" s="2" t="s">
        <v>10</v>
      </c>
      <c r="D11" s="2">
        <v>556.21279000000004</v>
      </c>
      <c r="E11" s="2">
        <v>554.88</v>
      </c>
      <c r="F11" s="2">
        <v>553.55097000000001</v>
      </c>
      <c r="G11" s="2">
        <v>552.22217999999998</v>
      </c>
      <c r="H11" s="2">
        <v>550.89364</v>
      </c>
      <c r="I11" s="2">
        <v>549.56533999999999</v>
      </c>
    </row>
    <row r="12" spans="1:9" x14ac:dyDescent="0.2">
      <c r="A12" s="22"/>
      <c r="B12" s="22"/>
      <c r="C12" s="2" t="s">
        <v>5</v>
      </c>
      <c r="D12" s="6"/>
      <c r="E12" s="6"/>
      <c r="F12" s="6"/>
      <c r="G12" s="6"/>
      <c r="H12" s="6"/>
      <c r="I12" s="6"/>
    </row>
    <row r="13" spans="1:9" x14ac:dyDescent="0.2">
      <c r="A13" s="23"/>
      <c r="B13" s="23"/>
      <c r="C13" s="2" t="s">
        <v>6</v>
      </c>
      <c r="D13" s="2">
        <v>-0.26587899999999998</v>
      </c>
      <c r="E13" s="2">
        <v>-0.26683000000000001</v>
      </c>
      <c r="F13" s="2">
        <v>-0.26578200000000002</v>
      </c>
      <c r="G13" s="2">
        <v>-0.265733</v>
      </c>
      <c r="H13" s="2">
        <v>-0.26568399999999998</v>
      </c>
      <c r="I13" s="2">
        <v>-0.26563500000000001</v>
      </c>
    </row>
    <row r="15" spans="1:9" x14ac:dyDescent="0.2">
      <c r="A15" s="29" t="s">
        <v>14</v>
      </c>
      <c r="B15" s="31"/>
      <c r="C15" s="31"/>
      <c r="D15" s="31"/>
      <c r="E15" s="31"/>
      <c r="F15" s="31"/>
      <c r="G15" s="31"/>
      <c r="H15" s="31"/>
      <c r="I15" s="30"/>
    </row>
    <row r="16" spans="1:9" x14ac:dyDescent="0.2">
      <c r="A16" s="29"/>
      <c r="B16" s="30"/>
      <c r="C16" s="3" t="s">
        <v>1</v>
      </c>
      <c r="D16" s="3" t="s">
        <v>7</v>
      </c>
      <c r="E16" s="3">
        <v>5</v>
      </c>
      <c r="F16" s="3">
        <v>10</v>
      </c>
      <c r="G16" s="3">
        <v>15</v>
      </c>
      <c r="H16" s="3">
        <v>20</v>
      </c>
      <c r="I16" s="3">
        <v>25</v>
      </c>
    </row>
    <row r="17" spans="1:9" x14ac:dyDescent="0.2">
      <c r="A17" s="24" t="s">
        <v>0</v>
      </c>
      <c r="B17" s="24"/>
      <c r="C17" s="4" t="s">
        <v>4</v>
      </c>
      <c r="D17" s="4">
        <v>35</v>
      </c>
      <c r="E17" s="4">
        <v>40</v>
      </c>
      <c r="F17" s="4">
        <v>45</v>
      </c>
      <c r="G17" s="4">
        <v>50</v>
      </c>
      <c r="H17" s="4">
        <v>55</v>
      </c>
      <c r="I17" s="4">
        <v>60</v>
      </c>
    </row>
    <row r="18" spans="1:9" x14ac:dyDescent="0.2">
      <c r="A18" s="4" t="s">
        <v>2</v>
      </c>
      <c r="B18" s="4" t="s">
        <v>3</v>
      </c>
      <c r="C18" s="4"/>
      <c r="D18" s="4"/>
      <c r="E18" s="4"/>
      <c r="F18" s="4"/>
      <c r="G18" s="4"/>
      <c r="H18" s="4"/>
      <c r="I18" s="4"/>
    </row>
    <row r="19" spans="1:9" x14ac:dyDescent="0.2">
      <c r="A19" s="21" t="s">
        <v>8</v>
      </c>
      <c r="B19" s="21" t="s">
        <v>9</v>
      </c>
      <c r="C19" s="4" t="s">
        <v>10</v>
      </c>
      <c r="D19" s="2">
        <v>569.75630000000001</v>
      </c>
      <c r="E19" s="4">
        <v>569.48753999999997</v>
      </c>
      <c r="F19" s="4">
        <v>569.22393999999997</v>
      </c>
      <c r="G19" s="4">
        <v>568.96042999999997</v>
      </c>
      <c r="H19" s="4">
        <v>568.697</v>
      </c>
      <c r="I19" s="4">
        <v>568.43364999999994</v>
      </c>
    </row>
    <row r="20" spans="1:9" x14ac:dyDescent="0.2">
      <c r="A20" s="22"/>
      <c r="B20" s="22"/>
      <c r="C20" s="4" t="s">
        <v>5</v>
      </c>
      <c r="D20" s="8"/>
      <c r="E20" s="8"/>
      <c r="F20" s="8"/>
      <c r="G20" s="8"/>
      <c r="H20" s="8"/>
      <c r="I20" s="8"/>
    </row>
    <row r="21" spans="1:9" x14ac:dyDescent="0.2">
      <c r="A21" s="23"/>
      <c r="B21" s="23"/>
      <c r="C21" s="4" t="s">
        <v>6</v>
      </c>
      <c r="D21" s="2">
        <v>-5.2745E-2</v>
      </c>
      <c r="E21" s="4">
        <v>-5.2727999999999997E-2</v>
      </c>
      <c r="F21" s="4">
        <v>-5.2711000000000001E-2</v>
      </c>
      <c r="G21" s="4">
        <v>-5.2694999999999999E-2</v>
      </c>
      <c r="H21" s="4">
        <v>-5.2678000000000003E-2</v>
      </c>
      <c r="I21" s="4">
        <v>-5.2660999999999999E-2</v>
      </c>
    </row>
    <row r="22" spans="1:9" x14ac:dyDescent="0.2">
      <c r="A22" s="21" t="s">
        <v>8</v>
      </c>
      <c r="B22" s="21" t="s">
        <v>11</v>
      </c>
      <c r="C22" s="4" t="s">
        <v>10</v>
      </c>
      <c r="D22" s="2">
        <v>664.13994000000002</v>
      </c>
      <c r="E22" s="5">
        <v>663.86231999999995</v>
      </c>
      <c r="F22" s="5">
        <v>663.58801000000005</v>
      </c>
      <c r="G22" s="5">
        <v>663.31377999999995</v>
      </c>
      <c r="H22" s="5">
        <v>663.03961000000004</v>
      </c>
      <c r="I22" s="5">
        <v>662.76550999999995</v>
      </c>
    </row>
    <row r="23" spans="1:9" x14ac:dyDescent="0.2">
      <c r="A23" s="22"/>
      <c r="B23" s="22"/>
      <c r="C23" s="4" t="s">
        <v>5</v>
      </c>
      <c r="D23" s="6"/>
      <c r="E23" s="9"/>
      <c r="F23" s="9"/>
      <c r="G23" s="9"/>
      <c r="H23" s="9"/>
      <c r="I23" s="9"/>
    </row>
    <row r="24" spans="1:9" x14ac:dyDescent="0.2">
      <c r="A24" s="23"/>
      <c r="B24" s="23"/>
      <c r="C24" s="4" t="s">
        <v>6</v>
      </c>
      <c r="D24" s="2">
        <v>-5.4882E-2</v>
      </c>
      <c r="E24" s="5">
        <v>-5.4868E-2</v>
      </c>
      <c r="F24" s="5">
        <v>-5.4854E-2</v>
      </c>
      <c r="G24" s="5">
        <v>-5.4841000000000001E-2</v>
      </c>
      <c r="H24" s="5">
        <v>-5.4827000000000001E-2</v>
      </c>
      <c r="I24" s="5">
        <v>-5.4813000000000001E-2</v>
      </c>
    </row>
    <row r="25" spans="1:9" x14ac:dyDescent="0.2">
      <c r="A25" s="21" t="s">
        <v>8</v>
      </c>
      <c r="B25" s="21" t="s">
        <v>12</v>
      </c>
      <c r="C25" s="2" t="s">
        <v>10</v>
      </c>
      <c r="D25" s="2">
        <v>556.21279000000004</v>
      </c>
      <c r="E25" s="5">
        <v>555.95748000000003</v>
      </c>
      <c r="F25" s="5">
        <v>555.70597999999995</v>
      </c>
      <c r="G25" s="5">
        <v>555.45456000000001</v>
      </c>
      <c r="H25" s="5">
        <v>555.20321999999999</v>
      </c>
      <c r="I25" s="5">
        <v>554.95196999999996</v>
      </c>
    </row>
    <row r="26" spans="1:9" x14ac:dyDescent="0.2">
      <c r="A26" s="22"/>
      <c r="B26" s="22"/>
      <c r="C26" s="2" t="s">
        <v>5</v>
      </c>
      <c r="D26" s="6"/>
      <c r="E26" s="9">
        <v>-5.1060000000000001E-2</v>
      </c>
      <c r="F26" s="9"/>
      <c r="G26" s="9"/>
      <c r="H26" s="9"/>
      <c r="I26" s="9"/>
    </row>
    <row r="27" spans="1:9" x14ac:dyDescent="0.2">
      <c r="A27" s="23"/>
      <c r="B27" s="23"/>
      <c r="C27" s="2" t="s">
        <v>6</v>
      </c>
      <c r="D27" s="2">
        <v>-5.0326999999999997E-2</v>
      </c>
      <c r="E27" s="5">
        <v>-5.0310000000000001E-2</v>
      </c>
      <c r="F27" s="5">
        <v>-5.0292999999999997E-2</v>
      </c>
      <c r="G27" s="5">
        <v>-5.0276000000000001E-2</v>
      </c>
      <c r="H27" s="5">
        <v>-5.0258999999999998E-2</v>
      </c>
      <c r="I27" s="5">
        <v>-5.0242000000000002E-2</v>
      </c>
    </row>
  </sheetData>
  <mergeCells count="18">
    <mergeCell ref="A3:B3"/>
    <mergeCell ref="A1:I1"/>
    <mergeCell ref="A2:B2"/>
    <mergeCell ref="A16:B16"/>
    <mergeCell ref="A15:I15"/>
    <mergeCell ref="A17:B17"/>
    <mergeCell ref="A5:A7"/>
    <mergeCell ref="B5:B7"/>
    <mergeCell ref="A8:A10"/>
    <mergeCell ref="B8:B10"/>
    <mergeCell ref="A11:A13"/>
    <mergeCell ref="B11:B13"/>
    <mergeCell ref="A19:A21"/>
    <mergeCell ref="B19:B21"/>
    <mergeCell ref="A22:A24"/>
    <mergeCell ref="B22:B24"/>
    <mergeCell ref="A25:A27"/>
    <mergeCell ref="B25:B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1DFD-09D1-E749-9E53-73076FA20C7F}">
  <dimension ref="A1:AF66"/>
  <sheetViews>
    <sheetView zoomScale="125" workbookViewId="0">
      <selection activeCell="L18" sqref="L18:L19"/>
    </sheetView>
  </sheetViews>
  <sheetFormatPr baseColWidth="10" defaultRowHeight="16" x14ac:dyDescent="0.2"/>
  <cols>
    <col min="1" max="1" width="12" bestFit="1" customWidth="1"/>
    <col min="2" max="2" width="12" customWidth="1"/>
    <col min="3" max="3" width="11" bestFit="1" customWidth="1"/>
    <col min="4" max="8" width="11" customWidth="1"/>
    <col min="9" max="9" width="12" bestFit="1" customWidth="1"/>
    <col min="10" max="14" width="12" customWidth="1"/>
    <col min="15" max="15" width="9.83203125" bestFit="1" customWidth="1"/>
    <col min="17" max="17" width="12.6640625" bestFit="1" customWidth="1"/>
    <col min="20" max="20" width="12.6640625" bestFit="1" customWidth="1"/>
  </cols>
  <sheetData>
    <row r="1" spans="1:32" x14ac:dyDescent="0.2">
      <c r="A1" s="21" t="s">
        <v>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10"/>
      <c r="Q1" s="32"/>
      <c r="R1" s="32"/>
      <c r="S1" s="32"/>
      <c r="T1" s="32"/>
      <c r="U1" s="32"/>
      <c r="V1" s="10"/>
      <c r="W1" s="10"/>
    </row>
    <row r="2" spans="1:32" s="14" customFormat="1" x14ac:dyDescent="0.2">
      <c r="A2" s="2"/>
      <c r="B2" s="25" t="s">
        <v>11</v>
      </c>
      <c r="C2" s="25"/>
      <c r="D2" s="25" t="s">
        <v>12</v>
      </c>
      <c r="E2" s="25"/>
      <c r="F2" s="25" t="s">
        <v>32</v>
      </c>
      <c r="G2" s="26"/>
      <c r="H2" s="1"/>
      <c r="I2" s="2"/>
      <c r="J2" s="25" t="s">
        <v>11</v>
      </c>
      <c r="K2" s="25"/>
      <c r="L2" s="25" t="s">
        <v>12</v>
      </c>
      <c r="M2" s="25"/>
      <c r="N2" s="25" t="s">
        <v>32</v>
      </c>
      <c r="O2" s="25"/>
      <c r="P2" s="10"/>
      <c r="Q2" s="1"/>
      <c r="R2" s="1"/>
      <c r="S2" s="1"/>
      <c r="T2" s="1"/>
      <c r="U2" s="1"/>
      <c r="V2" s="10"/>
      <c r="W2" s="10"/>
      <c r="X2"/>
      <c r="Y2"/>
      <c r="Z2"/>
      <c r="AA2"/>
      <c r="AB2"/>
      <c r="AC2"/>
      <c r="AD2"/>
      <c r="AE2"/>
      <c r="AF2"/>
    </row>
    <row r="3" spans="1:32" s="14" customFormat="1" x14ac:dyDescent="0.2">
      <c r="A3" s="2" t="s">
        <v>15</v>
      </c>
      <c r="B3" s="2" t="s">
        <v>10</v>
      </c>
      <c r="C3" s="2" t="s">
        <v>16</v>
      </c>
      <c r="D3" s="2" t="s">
        <v>10</v>
      </c>
      <c r="E3" s="2" t="s">
        <v>16</v>
      </c>
      <c r="F3" s="2" t="s">
        <v>10</v>
      </c>
      <c r="G3" s="2" t="s">
        <v>16</v>
      </c>
      <c r="H3" s="1"/>
      <c r="I3" s="2" t="s">
        <v>15</v>
      </c>
      <c r="J3" s="2" t="s">
        <v>10</v>
      </c>
      <c r="K3" s="2" t="s">
        <v>16</v>
      </c>
      <c r="L3" s="2" t="s">
        <v>10</v>
      </c>
      <c r="M3" s="2" t="s">
        <v>16</v>
      </c>
      <c r="N3" s="2" t="s">
        <v>10</v>
      </c>
      <c r="O3" s="2" t="s">
        <v>16</v>
      </c>
      <c r="P3" s="1"/>
      <c r="Q3" s="1"/>
      <c r="R3" s="1"/>
      <c r="S3" s="1"/>
      <c r="T3" s="1"/>
      <c r="U3" s="1"/>
      <c r="V3" s="10"/>
      <c r="W3" s="1"/>
      <c r="X3"/>
      <c r="Y3"/>
      <c r="Z3"/>
      <c r="AA3"/>
      <c r="AB3"/>
      <c r="AC3"/>
      <c r="AD3"/>
      <c r="AE3"/>
      <c r="AF3"/>
    </row>
    <row r="4" spans="1:32" s="14" customFormat="1" x14ac:dyDescent="0.2">
      <c r="A4" s="2">
        <v>0</v>
      </c>
      <c r="B4" s="2">
        <v>664.13610000000006</v>
      </c>
      <c r="C4" s="2"/>
      <c r="D4" s="2">
        <v>556.20839999999998</v>
      </c>
      <c r="E4" s="2"/>
      <c r="F4" s="2">
        <v>569.75059999999996</v>
      </c>
      <c r="G4" s="2"/>
      <c r="H4" s="1"/>
      <c r="I4" s="4">
        <v>0</v>
      </c>
      <c r="J4" s="2">
        <v>664.13660000000004</v>
      </c>
      <c r="K4" s="2"/>
      <c r="L4" s="2">
        <v>556.20889999999997</v>
      </c>
      <c r="M4" s="2"/>
      <c r="N4" s="2">
        <v>569.75109999999995</v>
      </c>
      <c r="O4" s="2"/>
      <c r="P4" s="1"/>
      <c r="Q4" s="1"/>
      <c r="R4" s="1"/>
      <c r="S4" s="1"/>
      <c r="T4" s="1"/>
      <c r="U4" s="1"/>
      <c r="V4" s="10"/>
      <c r="W4" s="1"/>
      <c r="X4"/>
      <c r="Y4"/>
      <c r="Z4"/>
      <c r="AA4"/>
      <c r="AB4"/>
      <c r="AC4"/>
      <c r="AD4"/>
      <c r="AE4"/>
      <c r="AF4"/>
    </row>
    <row r="5" spans="1:32" s="14" customFormat="1" x14ac:dyDescent="0.2">
      <c r="A5" s="2">
        <v>2</v>
      </c>
      <c r="B5" s="2">
        <v>671.73649999999998</v>
      </c>
      <c r="C5" s="2"/>
      <c r="D5" s="2">
        <v>560.3682</v>
      </c>
      <c r="E5" s="2"/>
      <c r="F5" s="2">
        <v>573.52070000000003</v>
      </c>
      <c r="G5" s="2"/>
      <c r="H5" s="1"/>
      <c r="I5" s="4">
        <v>-2</v>
      </c>
      <c r="J5" s="2">
        <v>656.62189999999998</v>
      </c>
      <c r="K5" s="2"/>
      <c r="L5" s="2">
        <v>552.18359999999996</v>
      </c>
      <c r="M5" s="2"/>
      <c r="N5" s="2">
        <v>566.11080000000004</v>
      </c>
      <c r="O5" s="2"/>
      <c r="P5" s="1"/>
      <c r="Q5" s="1"/>
      <c r="R5" s="1"/>
      <c r="S5" s="1"/>
      <c r="T5" s="1"/>
      <c r="U5" s="1"/>
      <c r="V5" s="1"/>
      <c r="W5" s="1"/>
      <c r="X5"/>
      <c r="Y5"/>
      <c r="Z5"/>
      <c r="AA5"/>
      <c r="AB5"/>
      <c r="AC5"/>
      <c r="AD5"/>
      <c r="AE5"/>
      <c r="AF5"/>
    </row>
    <row r="6" spans="1:32" s="14" customFormat="1" x14ac:dyDescent="0.2">
      <c r="A6" s="2">
        <v>4</v>
      </c>
      <c r="B6" s="2">
        <v>679.4008</v>
      </c>
      <c r="C6" s="2"/>
      <c r="D6" s="2">
        <v>564.65599999999995</v>
      </c>
      <c r="E6" s="2"/>
      <c r="F6" s="2">
        <v>577.41480000000001</v>
      </c>
      <c r="G6" s="2"/>
      <c r="H6" s="1"/>
      <c r="I6" s="4">
        <v>-4</v>
      </c>
      <c r="J6" s="2">
        <v>649.20550000000003</v>
      </c>
      <c r="K6" s="2"/>
      <c r="L6" s="2">
        <v>548.29740000000004</v>
      </c>
      <c r="M6" s="2"/>
      <c r="N6" s="2">
        <v>562.6046</v>
      </c>
      <c r="O6" s="2"/>
      <c r="P6" s="1"/>
      <c r="Q6" s="1"/>
      <c r="R6" s="1"/>
      <c r="S6" s="1"/>
      <c r="T6" s="1"/>
      <c r="U6" s="1"/>
      <c r="V6" s="10"/>
      <c r="W6" s="1"/>
      <c r="X6"/>
      <c r="Y6"/>
      <c r="Z6"/>
      <c r="AA6"/>
      <c r="AB6"/>
      <c r="AC6"/>
      <c r="AD6"/>
      <c r="AE6"/>
      <c r="AF6"/>
    </row>
    <row r="7" spans="1:32" s="14" customFormat="1" x14ac:dyDescent="0.2">
      <c r="A7" s="2">
        <v>6</v>
      </c>
      <c r="B7" s="12">
        <v>687.14049999999997</v>
      </c>
      <c r="C7" s="2"/>
      <c r="D7" s="2">
        <v>569.06719999999996</v>
      </c>
      <c r="E7" s="2"/>
      <c r="F7" s="2">
        <v>581.42870000000005</v>
      </c>
      <c r="G7" s="2"/>
      <c r="H7" s="1"/>
      <c r="I7" s="4">
        <v>-6</v>
      </c>
      <c r="J7" s="2">
        <v>641.90039999999999</v>
      </c>
      <c r="K7" s="2"/>
      <c r="L7" s="2">
        <v>544.55589999999995</v>
      </c>
      <c r="M7" s="2"/>
      <c r="N7" s="2">
        <v>559.23739999999998</v>
      </c>
      <c r="O7" s="2"/>
      <c r="P7" s="1"/>
      <c r="Q7" s="1"/>
      <c r="R7" s="1"/>
      <c r="S7" s="1"/>
      <c r="T7" s="1"/>
      <c r="U7" s="1"/>
      <c r="V7" s="10"/>
      <c r="W7" s="1"/>
      <c r="X7"/>
      <c r="Y7"/>
      <c r="Z7"/>
      <c r="AA7"/>
      <c r="AB7"/>
      <c r="AC7"/>
      <c r="AD7"/>
      <c r="AE7"/>
      <c r="AF7"/>
    </row>
    <row r="8" spans="1:32" s="14" customFormat="1" x14ac:dyDescent="0.2">
      <c r="A8" s="2">
        <v>8</v>
      </c>
      <c r="B8" s="2">
        <v>694.91869999999994</v>
      </c>
      <c r="C8" s="2"/>
      <c r="D8" s="2">
        <v>573.59640000000002</v>
      </c>
      <c r="E8" s="2"/>
      <c r="F8" s="2">
        <v>585.55780000000004</v>
      </c>
      <c r="G8" s="2"/>
      <c r="H8" s="1"/>
      <c r="I8" s="4">
        <v>-8</v>
      </c>
      <c r="J8" s="2">
        <v>634.71969999999999</v>
      </c>
      <c r="K8" s="2"/>
      <c r="L8" s="2">
        <v>540.96439999999996</v>
      </c>
      <c r="M8" s="2"/>
      <c r="N8" s="2">
        <v>556.01390000000004</v>
      </c>
      <c r="O8" s="2"/>
      <c r="P8" s="1"/>
      <c r="Q8" s="1"/>
      <c r="R8" s="1"/>
      <c r="S8" s="1"/>
      <c r="T8" s="1"/>
      <c r="U8" s="1"/>
      <c r="V8" s="10"/>
      <c r="W8" s="1"/>
      <c r="X8"/>
      <c r="Y8"/>
      <c r="Z8"/>
      <c r="AA8"/>
      <c r="AB8"/>
      <c r="AC8"/>
      <c r="AD8"/>
      <c r="AE8"/>
      <c r="AF8"/>
    </row>
    <row r="9" spans="1:32" s="14" customFormat="1" x14ac:dyDescent="0.2">
      <c r="A9" s="2">
        <v>10</v>
      </c>
      <c r="B9" s="2">
        <v>702.73040000000003</v>
      </c>
      <c r="C9" s="2"/>
      <c r="D9" s="2">
        <v>578.33860000000004</v>
      </c>
      <c r="E9" s="2"/>
      <c r="F9" s="2">
        <v>589.79729999999995</v>
      </c>
      <c r="G9" s="2"/>
      <c r="H9" s="1"/>
      <c r="I9" s="4">
        <v>-10</v>
      </c>
      <c r="J9" s="2">
        <v>627.67629999999997</v>
      </c>
      <c r="K9" s="2"/>
      <c r="L9" s="2">
        <v>537.52840000000003</v>
      </c>
      <c r="M9" s="2"/>
      <c r="N9" s="2">
        <v>552.93920000000003</v>
      </c>
      <c r="O9" s="2"/>
      <c r="P9" s="1"/>
      <c r="Q9" s="1"/>
      <c r="R9" s="1"/>
      <c r="S9" s="1"/>
      <c r="T9" s="1"/>
      <c r="U9" s="1"/>
      <c r="V9" s="10"/>
      <c r="W9" s="1"/>
      <c r="X9"/>
      <c r="Y9"/>
      <c r="Z9"/>
      <c r="AA9"/>
      <c r="AB9"/>
      <c r="AC9"/>
      <c r="AD9"/>
      <c r="AE9"/>
      <c r="AF9"/>
    </row>
    <row r="10" spans="1:32" s="14" customFormat="1" x14ac:dyDescent="0.2">
      <c r="A10" s="2">
        <v>12</v>
      </c>
      <c r="B10" s="2">
        <v>710.56290000000001</v>
      </c>
      <c r="C10" s="2"/>
      <c r="D10" s="2">
        <v>582.98839999999996</v>
      </c>
      <c r="E10" s="2"/>
      <c r="F10" s="2">
        <v>594.14250000000004</v>
      </c>
      <c r="G10" s="2"/>
      <c r="H10" s="1"/>
      <c r="I10" s="4">
        <v>-12</v>
      </c>
      <c r="J10" s="2">
        <v>620.78340000000003</v>
      </c>
      <c r="K10" s="2"/>
      <c r="L10" s="2">
        <v>534.25350000000003</v>
      </c>
      <c r="M10" s="2"/>
      <c r="N10" s="2">
        <v>550.01819999999998</v>
      </c>
      <c r="O10" s="2"/>
      <c r="P10" s="1"/>
      <c r="Q10" s="1"/>
      <c r="R10" s="1"/>
      <c r="S10" s="1"/>
      <c r="T10" s="1"/>
      <c r="U10" s="1"/>
      <c r="V10" s="10"/>
      <c r="W10" s="1"/>
      <c r="X10"/>
      <c r="Y10"/>
      <c r="Z10"/>
      <c r="AA10"/>
      <c r="AB10"/>
      <c r="AC10"/>
      <c r="AD10"/>
      <c r="AE10"/>
      <c r="AF10"/>
    </row>
    <row r="11" spans="1:32" s="14" customFormat="1" x14ac:dyDescent="0.2">
      <c r="A11" s="2">
        <v>14</v>
      </c>
      <c r="B11" s="2">
        <v>718.40329999999994</v>
      </c>
      <c r="C11" s="2"/>
      <c r="D11" s="2">
        <v>587.84069999999997</v>
      </c>
      <c r="E11" s="2"/>
      <c r="F11" s="2">
        <v>598.58900000000006</v>
      </c>
      <c r="G11" s="2"/>
      <c r="H11" s="1"/>
      <c r="I11" s="4">
        <v>-14</v>
      </c>
      <c r="J11" s="2">
        <v>614.05399999999997</v>
      </c>
      <c r="K11" s="2"/>
      <c r="L11" s="2">
        <v>531.14530000000002</v>
      </c>
      <c r="M11" s="2"/>
      <c r="N11" s="2">
        <v>547.25599999999997</v>
      </c>
      <c r="O11" s="2"/>
      <c r="P11" s="1"/>
      <c r="Q11" s="1"/>
      <c r="R11" s="1"/>
      <c r="S11" s="1"/>
      <c r="T11" s="1"/>
      <c r="U11" s="1"/>
      <c r="V11" s="10"/>
      <c r="W11" s="1"/>
      <c r="X11"/>
      <c r="Y11"/>
      <c r="Z11"/>
      <c r="AA11"/>
      <c r="AB11"/>
      <c r="AC11"/>
      <c r="AD11"/>
      <c r="AE11"/>
      <c r="AF11"/>
    </row>
    <row r="12" spans="1:32" s="14" customFormat="1" x14ac:dyDescent="0.2">
      <c r="A12" s="2">
        <v>16</v>
      </c>
      <c r="B12" s="2">
        <v>726.23889999999994</v>
      </c>
      <c r="C12" s="2"/>
      <c r="D12" s="2">
        <v>592.79049999999995</v>
      </c>
      <c r="E12" s="2"/>
      <c r="F12" s="2">
        <v>603.13199999999995</v>
      </c>
      <c r="G12" s="2"/>
      <c r="H12" s="1"/>
      <c r="I12" s="4">
        <v>-16</v>
      </c>
      <c r="J12" s="2">
        <v>607.50139999999999</v>
      </c>
      <c r="K12" s="2"/>
      <c r="L12" s="2">
        <v>528.20950000000005</v>
      </c>
      <c r="M12" s="2"/>
      <c r="N12" s="2">
        <v>544.65779999999995</v>
      </c>
      <c r="O12" s="2"/>
      <c r="P12" s="1"/>
      <c r="Q12" s="1"/>
      <c r="R12" s="1"/>
      <c r="S12" s="1"/>
      <c r="T12" s="1"/>
      <c r="U12" s="1"/>
      <c r="V12" s="10"/>
      <c r="W12" s="1"/>
      <c r="X12"/>
      <c r="Y12"/>
      <c r="Z12"/>
      <c r="AA12"/>
      <c r="AB12"/>
      <c r="AC12"/>
      <c r="AD12"/>
      <c r="AE12"/>
      <c r="AF12"/>
    </row>
    <row r="13" spans="1:32" s="14" customFormat="1" x14ac:dyDescent="0.2">
      <c r="A13" s="2">
        <v>18</v>
      </c>
      <c r="B13" s="2">
        <v>734.05679999999995</v>
      </c>
      <c r="C13" s="2"/>
      <c r="D13" s="2">
        <v>597.83259999999996</v>
      </c>
      <c r="E13" s="2"/>
      <c r="F13" s="2">
        <v>607.76700000000005</v>
      </c>
      <c r="G13" s="2"/>
      <c r="H13" s="1"/>
      <c r="I13" s="4">
        <v>-18</v>
      </c>
      <c r="J13" s="2">
        <v>601.13879999999995</v>
      </c>
      <c r="K13" s="2"/>
      <c r="L13" s="2">
        <v>525.452</v>
      </c>
      <c r="M13" s="2"/>
      <c r="N13" s="2">
        <v>542.22889999999995</v>
      </c>
      <c r="O13" s="2"/>
      <c r="P13" s="1"/>
      <c r="Q13" s="1"/>
      <c r="R13" s="1"/>
      <c r="S13" s="1"/>
      <c r="T13" s="1"/>
      <c r="U13" s="1"/>
      <c r="V13"/>
      <c r="W13"/>
      <c r="X13"/>
      <c r="Y13"/>
      <c r="Z13"/>
      <c r="AA13"/>
      <c r="AB13"/>
      <c r="AC13"/>
      <c r="AD13"/>
      <c r="AE13"/>
      <c r="AF13"/>
    </row>
    <row r="14" spans="1:32" s="14" customFormat="1" x14ac:dyDescent="0.2">
      <c r="A14" s="2">
        <v>20</v>
      </c>
      <c r="B14" s="2">
        <v>741.84460000000001</v>
      </c>
      <c r="C14" s="2"/>
      <c r="D14" s="2">
        <v>602.96209999999996</v>
      </c>
      <c r="E14" s="2"/>
      <c r="F14" s="2">
        <v>612.48969999999997</v>
      </c>
      <c r="G14" s="2"/>
      <c r="H14" s="1"/>
      <c r="I14" s="4">
        <v>-20</v>
      </c>
      <c r="J14" s="2">
        <v>594.97950000000003</v>
      </c>
      <c r="K14" s="2"/>
      <c r="L14" s="2">
        <v>522.87879999999996</v>
      </c>
      <c r="M14" s="2"/>
      <c r="N14" s="2">
        <v>539.97479999999996</v>
      </c>
      <c r="O14" s="2"/>
      <c r="P14" s="1"/>
      <c r="Q14" s="1"/>
      <c r="R14" s="1"/>
      <c r="S14" s="1"/>
      <c r="T14" s="1"/>
      <c r="U14" s="1"/>
      <c r="V14"/>
      <c r="W14"/>
      <c r="X14"/>
      <c r="Y14"/>
      <c r="Z14"/>
      <c r="AA14"/>
      <c r="AB14"/>
      <c r="AC14"/>
      <c r="AD14"/>
      <c r="AE14"/>
      <c r="AF14"/>
    </row>
    <row r="15" spans="1:32" s="14" customFormat="1" x14ac:dyDescent="0.2">
      <c r="A15" s="2">
        <v>22</v>
      </c>
      <c r="B15" s="2">
        <v>749.58960000000002</v>
      </c>
      <c r="C15" s="2"/>
      <c r="D15" s="2">
        <v>608.17399999999998</v>
      </c>
      <c r="E15" s="2"/>
      <c r="F15" s="2">
        <v>617.29539999999997</v>
      </c>
      <c r="G15" s="2"/>
      <c r="H15" s="1"/>
      <c r="I15" s="4">
        <v>-22</v>
      </c>
      <c r="J15" s="2">
        <v>589.03710000000001</v>
      </c>
      <c r="K15" s="2"/>
      <c r="L15" s="2">
        <v>520.49630000000002</v>
      </c>
      <c r="M15" s="2"/>
      <c r="N15" s="2">
        <v>537.90110000000004</v>
      </c>
      <c r="O15" s="2"/>
      <c r="P15" s="1"/>
      <c r="Q15" s="1"/>
      <c r="R15" s="1"/>
      <c r="S15" s="1"/>
      <c r="T15" s="1"/>
      <c r="U15" s="1"/>
      <c r="V15"/>
      <c r="W15"/>
      <c r="X15"/>
      <c r="Y15"/>
      <c r="Z15"/>
      <c r="AA15"/>
      <c r="AB15"/>
      <c r="AC15"/>
      <c r="AD15"/>
      <c r="AE15"/>
      <c r="AF15"/>
    </row>
    <row r="16" spans="1:32" s="14" customFormat="1" x14ac:dyDescent="0.2">
      <c r="A16" s="2">
        <v>24</v>
      </c>
      <c r="B16" s="2">
        <v>757.27919999999995</v>
      </c>
      <c r="C16" s="2"/>
      <c r="D16" s="2">
        <v>613.46339999999998</v>
      </c>
      <c r="E16" s="2"/>
      <c r="F16" s="2">
        <v>622.17999999999995</v>
      </c>
      <c r="G16" s="2"/>
      <c r="H16" s="1"/>
      <c r="I16" s="4">
        <v>-24</v>
      </c>
      <c r="J16" s="4">
        <v>583.32529999999997</v>
      </c>
      <c r="K16" s="4"/>
      <c r="L16" s="4">
        <v>518.31079999999997</v>
      </c>
      <c r="M16" s="4"/>
      <c r="N16" s="4">
        <v>536.01379999999995</v>
      </c>
      <c r="O16" s="4"/>
      <c r="P16" s="18"/>
      <c r="Q16" s="1"/>
      <c r="R16" s="1"/>
      <c r="S16" s="1"/>
      <c r="T16" s="17"/>
      <c r="U16" s="17"/>
      <c r="V16"/>
      <c r="W16"/>
      <c r="X16"/>
      <c r="Y16"/>
      <c r="Z16"/>
      <c r="AA16"/>
      <c r="AB16"/>
      <c r="AC16"/>
      <c r="AD16"/>
      <c r="AE16"/>
      <c r="AF16"/>
    </row>
    <row r="17" spans="1:32" s="14" customFormat="1" x14ac:dyDescent="0.2">
      <c r="A17" s="4">
        <v>26</v>
      </c>
      <c r="B17" s="2">
        <v>764.90110000000004</v>
      </c>
      <c r="C17" s="2"/>
      <c r="D17" s="2">
        <v>618.82560000000001</v>
      </c>
      <c r="E17" s="2"/>
      <c r="F17" s="2">
        <v>627.13919999999996</v>
      </c>
      <c r="G17" s="2"/>
      <c r="H17" s="1"/>
      <c r="I17" s="4">
        <v>-26</v>
      </c>
      <c r="J17" s="4">
        <v>577.85820000000001</v>
      </c>
      <c r="K17" s="4"/>
      <c r="L17" s="4">
        <v>516.32939999999996</v>
      </c>
      <c r="M17" s="4"/>
      <c r="N17" s="4">
        <v>534.31899999999996</v>
      </c>
      <c r="O17" s="4"/>
      <c r="P17" s="17"/>
      <c r="Q17" s="1"/>
      <c r="R17" s="1"/>
      <c r="S17" s="1"/>
      <c r="T17" s="17"/>
      <c r="U17" s="17"/>
      <c r="V17"/>
      <c r="W17"/>
      <c r="X17"/>
      <c r="Y17"/>
      <c r="Z17"/>
      <c r="AA17"/>
      <c r="AB17"/>
      <c r="AC17"/>
      <c r="AD17"/>
      <c r="AE17"/>
      <c r="AF17"/>
    </row>
    <row r="18" spans="1:32" s="14" customFormat="1" x14ac:dyDescent="0.2">
      <c r="A18" s="4">
        <v>28</v>
      </c>
      <c r="B18" s="2">
        <v>772.44290000000001</v>
      </c>
      <c r="C18" s="2"/>
      <c r="D18" s="2">
        <v>624.2559</v>
      </c>
      <c r="E18" s="2"/>
      <c r="F18" s="2">
        <v>632.16880000000003</v>
      </c>
      <c r="G18" s="2"/>
      <c r="H18" s="1"/>
      <c r="I18" s="4">
        <v>-28</v>
      </c>
      <c r="J18" s="4">
        <v>572.60919999999999</v>
      </c>
      <c r="K18" s="4"/>
      <c r="L18" s="4">
        <v>514.51949999999999</v>
      </c>
      <c r="M18" s="4"/>
      <c r="N18" s="4">
        <v>532.78489999999999</v>
      </c>
      <c r="O18" s="4"/>
      <c r="P18" s="17"/>
      <c r="Q18" s="1"/>
      <c r="R18" s="1"/>
      <c r="S18" s="1"/>
      <c r="T18" s="17"/>
      <c r="U18" s="17"/>
      <c r="V18"/>
      <c r="W18"/>
      <c r="X18"/>
      <c r="Y18"/>
      <c r="Z18"/>
      <c r="AA18"/>
      <c r="AB18"/>
      <c r="AC18"/>
      <c r="AD18"/>
      <c r="AE18"/>
      <c r="AF18"/>
    </row>
    <row r="19" spans="1:32" s="16" customFormat="1" x14ac:dyDescent="0.2">
      <c r="A19" s="4">
        <v>30</v>
      </c>
      <c r="B19" s="2">
        <v>779.89229999999998</v>
      </c>
      <c r="C19" s="2"/>
      <c r="D19" s="2">
        <v>629.75</v>
      </c>
      <c r="E19" s="2"/>
      <c r="F19" s="2">
        <v>637.26509999999996</v>
      </c>
      <c r="G19" s="2"/>
      <c r="H19" s="1"/>
      <c r="I19" s="4">
        <v>-30</v>
      </c>
      <c r="J19" s="4">
        <v>567.64070000000004</v>
      </c>
      <c r="K19" s="4"/>
      <c r="L19" s="4">
        <v>512.93579999999997</v>
      </c>
      <c r="M19" s="4"/>
      <c r="N19" s="4">
        <v>531.46410000000003</v>
      </c>
      <c r="O19" s="4"/>
      <c r="P19" s="17"/>
      <c r="Q19" s="1"/>
      <c r="R19" s="1"/>
      <c r="S19" s="1"/>
      <c r="T19" s="17"/>
      <c r="U19" s="17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A20" s="17"/>
      <c r="B20" s="10"/>
      <c r="C20" s="10"/>
      <c r="D20" s="10"/>
      <c r="E20" s="10"/>
      <c r="F20" s="10"/>
      <c r="G20" s="10"/>
      <c r="H20" s="10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32" x14ac:dyDescent="0.2">
      <c r="A21" s="17"/>
      <c r="B21" s="10"/>
      <c r="C21" s="10"/>
      <c r="D21" s="10"/>
      <c r="E21" s="10"/>
      <c r="F21" s="10"/>
      <c r="G21" s="10"/>
      <c r="H21" s="10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1:32" x14ac:dyDescent="0.2">
      <c r="A22" s="17"/>
      <c r="B22" s="10"/>
      <c r="C22" s="10"/>
      <c r="D22" s="10"/>
      <c r="E22" s="10"/>
      <c r="F22" s="10"/>
      <c r="G22" s="10"/>
      <c r="H22" s="10"/>
      <c r="J22" s="17"/>
      <c r="K22" s="17"/>
      <c r="L22" s="17"/>
      <c r="M22" s="17"/>
      <c r="N22" s="17"/>
      <c r="O22" s="1"/>
      <c r="P22" s="17"/>
      <c r="Q22" s="17"/>
      <c r="R22" s="17"/>
      <c r="S22" s="17"/>
      <c r="T22" s="17"/>
    </row>
    <row r="23" spans="1:32" x14ac:dyDescent="0.2">
      <c r="A23" s="17"/>
      <c r="B23" s="10"/>
      <c r="C23" s="10"/>
      <c r="D23" s="10"/>
      <c r="E23" s="10"/>
      <c r="F23" s="10"/>
      <c r="G23" s="10"/>
      <c r="H23" s="10"/>
      <c r="J23" s="17"/>
      <c r="K23" s="17"/>
      <c r="L23" s="17"/>
      <c r="M23" s="17"/>
      <c r="N23" s="17"/>
      <c r="O23" s="1"/>
      <c r="P23" s="11"/>
      <c r="Q23" s="11"/>
      <c r="R23" s="11"/>
      <c r="S23" s="11"/>
      <c r="T23" s="11"/>
    </row>
    <row r="24" spans="1:32" x14ac:dyDescent="0.2">
      <c r="A24" s="17"/>
      <c r="B24" s="10"/>
      <c r="C24" s="10"/>
      <c r="D24" s="10"/>
      <c r="E24" s="10"/>
      <c r="F24" s="10"/>
      <c r="G24" s="10"/>
      <c r="H24" s="10"/>
      <c r="J24" s="17"/>
      <c r="K24" s="17"/>
      <c r="L24" s="17"/>
      <c r="M24" s="17"/>
      <c r="N24" s="17"/>
      <c r="O24" s="1"/>
      <c r="P24" s="11"/>
      <c r="Q24" s="11"/>
      <c r="R24" s="11"/>
      <c r="S24" s="11"/>
      <c r="T24" s="11"/>
    </row>
    <row r="25" spans="1:32" x14ac:dyDescent="0.2">
      <c r="A25" s="17"/>
      <c r="B25" s="10"/>
      <c r="C25" s="10"/>
      <c r="D25" s="10"/>
      <c r="E25" s="10"/>
      <c r="F25" s="10"/>
      <c r="G25" s="10"/>
      <c r="H25" s="10"/>
      <c r="J25" s="17"/>
      <c r="K25" s="17"/>
      <c r="L25" s="17"/>
      <c r="M25" s="17"/>
      <c r="N25" s="17"/>
      <c r="O25" s="1"/>
      <c r="P25" s="11"/>
      <c r="Q25" s="11"/>
      <c r="R25" s="11"/>
      <c r="S25" s="11"/>
      <c r="T25" s="11"/>
    </row>
    <row r="26" spans="1:32" x14ac:dyDescent="0.2">
      <c r="A26" s="17"/>
      <c r="B26" s="10"/>
      <c r="C26" s="10"/>
      <c r="D26" s="10"/>
      <c r="E26" s="10"/>
      <c r="F26" s="10"/>
      <c r="G26" s="10"/>
      <c r="H26" s="10"/>
      <c r="J26" s="1"/>
      <c r="K26" s="1"/>
      <c r="L26" s="1"/>
      <c r="M26" s="1"/>
      <c r="N26" s="1"/>
      <c r="O26" s="1"/>
      <c r="P26" s="11"/>
      <c r="Q26" s="11"/>
      <c r="R26" s="11"/>
      <c r="S26" s="11"/>
      <c r="T26" s="11"/>
    </row>
    <row r="27" spans="1:32" x14ac:dyDescent="0.2">
      <c r="A27" s="13"/>
      <c r="B27" s="10"/>
      <c r="C27" s="10"/>
      <c r="D27" s="10"/>
      <c r="E27" s="10"/>
      <c r="F27" s="10"/>
      <c r="G27" s="10"/>
      <c r="H27" s="10"/>
      <c r="I27" s="1"/>
      <c r="J27" s="1"/>
      <c r="K27" s="1"/>
      <c r="L27" s="1"/>
      <c r="M27" s="1"/>
      <c r="N27" s="1"/>
      <c r="O27" s="1"/>
      <c r="P27" s="11"/>
      <c r="Q27" s="11"/>
      <c r="R27" s="11"/>
      <c r="S27" s="11"/>
      <c r="T27" s="11"/>
    </row>
    <row r="28" spans="1:32" x14ac:dyDescent="0.2">
      <c r="A28" s="13"/>
      <c r="B28" s="10"/>
      <c r="C28" s="10"/>
      <c r="D28" s="10"/>
      <c r="E28" s="10"/>
      <c r="F28" s="10"/>
      <c r="G28" s="10"/>
      <c r="H28" s="10"/>
      <c r="I28" s="1"/>
      <c r="J28" s="1"/>
      <c r="K28" s="1"/>
      <c r="L28" s="1"/>
      <c r="M28" s="1"/>
      <c r="N28" s="1"/>
      <c r="O28" s="1"/>
      <c r="P28" s="11"/>
      <c r="Q28" s="11"/>
      <c r="R28" s="11"/>
      <c r="S28" s="11"/>
      <c r="T28" s="11"/>
    </row>
    <row r="29" spans="1:32" x14ac:dyDescent="0.2">
      <c r="A29" s="13"/>
    </row>
    <row r="30" spans="1:32" x14ac:dyDescent="0.2">
      <c r="A30" s="13"/>
    </row>
    <row r="31" spans="1:32" x14ac:dyDescent="0.2">
      <c r="A31" s="13"/>
    </row>
    <row r="32" spans="1:32" x14ac:dyDescent="0.2">
      <c r="A32" s="13"/>
    </row>
    <row r="33" spans="1:1" x14ac:dyDescent="0.2">
      <c r="A33" s="13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</sheetData>
  <mergeCells count="8">
    <mergeCell ref="A1:O1"/>
    <mergeCell ref="Q1:U1"/>
    <mergeCell ref="B2:C2"/>
    <mergeCell ref="F2:G2"/>
    <mergeCell ref="D2:E2"/>
    <mergeCell ref="J2:K2"/>
    <mergeCell ref="L2:M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C123-0828-314E-8D75-1359C5F4FFA1}">
  <dimension ref="A1:R2"/>
  <sheetViews>
    <sheetView topLeftCell="B1" zoomScale="109" workbookViewId="0">
      <selection activeCell="G2" sqref="G2"/>
    </sheetView>
  </sheetViews>
  <sheetFormatPr baseColWidth="10" defaultRowHeight="16" x14ac:dyDescent="0.2"/>
  <cols>
    <col min="1" max="1" width="15.6640625" bestFit="1" customWidth="1"/>
  </cols>
  <sheetData>
    <row r="1" spans="1:18" x14ac:dyDescent="0.2">
      <c r="A1" s="14" t="s">
        <v>17</v>
      </c>
      <c r="B1" s="14">
        <v>0.9</v>
      </c>
      <c r="C1" s="14">
        <v>0.91249999999999998</v>
      </c>
      <c r="D1" s="14">
        <v>0.92500000000000004</v>
      </c>
      <c r="E1" s="14">
        <v>0.9375</v>
      </c>
      <c r="F1" s="14">
        <v>9.5000000000000001E-2</v>
      </c>
      <c r="G1" s="38">
        <v>0.96250000000000002</v>
      </c>
      <c r="H1" s="14">
        <v>0.97499999999999998</v>
      </c>
      <c r="I1" s="14">
        <v>0.98750000000000004</v>
      </c>
      <c r="J1" s="14">
        <v>1</v>
      </c>
      <c r="K1" s="14">
        <v>1.0125</v>
      </c>
      <c r="L1" s="14">
        <v>1.0249999999999999</v>
      </c>
      <c r="M1" s="14">
        <v>1.375</v>
      </c>
      <c r="N1" s="14">
        <v>1.05</v>
      </c>
      <c r="O1" s="14">
        <v>1.0625</v>
      </c>
      <c r="P1" s="14">
        <v>1.075</v>
      </c>
      <c r="Q1" s="14">
        <v>1.0874999999999999</v>
      </c>
      <c r="R1" s="14">
        <v>1.1000000000000001</v>
      </c>
    </row>
    <row r="2" spans="1:18" x14ac:dyDescent="0.2">
      <c r="A2" s="14" t="s">
        <v>18</v>
      </c>
      <c r="B2" s="14">
        <v>289.27999999999997</v>
      </c>
      <c r="C2" s="14">
        <v>289.55</v>
      </c>
      <c r="D2" s="14">
        <v>289.39</v>
      </c>
      <c r="E2" s="14">
        <v>289.27999999999997</v>
      </c>
      <c r="F2" s="14">
        <v>289.20999999999998</v>
      </c>
      <c r="G2" s="38">
        <v>289.19</v>
      </c>
      <c r="H2" s="14">
        <v>289.22000000000003</v>
      </c>
      <c r="I2" s="14">
        <v>289.27999999999997</v>
      </c>
      <c r="J2" s="14">
        <v>289.38</v>
      </c>
      <c r="K2" s="14">
        <v>289.52</v>
      </c>
      <c r="L2" s="14">
        <v>289.69</v>
      </c>
      <c r="M2" s="14">
        <v>289.88</v>
      </c>
      <c r="N2" s="14">
        <v>290.19</v>
      </c>
      <c r="O2" s="14">
        <v>290.49</v>
      </c>
      <c r="P2" s="14">
        <v>290.82</v>
      </c>
      <c r="Q2" s="14">
        <v>291.17</v>
      </c>
      <c r="R2" s="14">
        <v>291.52999999999997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9E4F-6A1D-BF40-B075-16FD3F7C8ED0}">
  <dimension ref="A1:G27"/>
  <sheetViews>
    <sheetView tabSelected="1" zoomScale="134" workbookViewId="0">
      <selection activeCell="F32" sqref="F32"/>
    </sheetView>
  </sheetViews>
  <sheetFormatPr baseColWidth="10" defaultRowHeight="16" x14ac:dyDescent="0.2"/>
  <cols>
    <col min="2" max="2" width="12.83203125" bestFit="1" customWidth="1"/>
    <col min="3" max="3" width="11.33203125" bestFit="1" customWidth="1"/>
    <col min="4" max="4" width="20.1640625" bestFit="1" customWidth="1"/>
    <col min="5" max="5" width="8" customWidth="1"/>
    <col min="6" max="6" width="16" bestFit="1" customWidth="1"/>
  </cols>
  <sheetData>
    <row r="1" spans="1:7" x14ac:dyDescent="0.2">
      <c r="A1" s="12" t="s">
        <v>19</v>
      </c>
      <c r="B1" s="12" t="s">
        <v>20</v>
      </c>
      <c r="C1" s="12" t="s">
        <v>21</v>
      </c>
      <c r="D1" s="12" t="s">
        <v>22</v>
      </c>
      <c r="F1" s="40" t="s">
        <v>42</v>
      </c>
    </row>
    <row r="2" spans="1:7" x14ac:dyDescent="0.2">
      <c r="A2" s="12">
        <v>30</v>
      </c>
      <c r="B2" s="12" t="s">
        <v>23</v>
      </c>
      <c r="C2" s="37">
        <v>289.27999999999997</v>
      </c>
      <c r="D2" s="12">
        <v>283.08999999999997</v>
      </c>
      <c r="E2">
        <f>C2-D2</f>
        <v>6.1899999999999977</v>
      </c>
      <c r="F2">
        <v>3</v>
      </c>
    </row>
    <row r="3" spans="1:7" x14ac:dyDescent="0.2">
      <c r="A3" s="12">
        <v>28</v>
      </c>
      <c r="B3" s="12" t="s">
        <v>24</v>
      </c>
      <c r="C3" s="37"/>
      <c r="D3" s="12">
        <v>283.72000000000003</v>
      </c>
      <c r="E3">
        <f>C2-D3</f>
        <v>5.5599999999999454</v>
      </c>
      <c r="F3">
        <v>5</v>
      </c>
    </row>
    <row r="4" spans="1:7" x14ac:dyDescent="0.2">
      <c r="A4" s="12">
        <v>24</v>
      </c>
      <c r="B4" s="12" t="s">
        <v>25</v>
      </c>
      <c r="C4" s="37"/>
      <c r="D4" s="12">
        <v>280.06</v>
      </c>
      <c r="E4">
        <f>C2-D4</f>
        <v>9.2199999999999704</v>
      </c>
      <c r="F4">
        <v>1</v>
      </c>
    </row>
    <row r="5" spans="1:7" x14ac:dyDescent="0.2">
      <c r="A5" s="12">
        <v>29</v>
      </c>
      <c r="B5" s="12" t="s">
        <v>26</v>
      </c>
      <c r="C5" s="37"/>
      <c r="D5" s="12">
        <v>280.8</v>
      </c>
      <c r="E5">
        <f>C2-D5</f>
        <v>8.4799999999999613</v>
      </c>
      <c r="F5">
        <v>2</v>
      </c>
    </row>
    <row r="6" spans="1:7" x14ac:dyDescent="0.2">
      <c r="A6" s="12">
        <v>3</v>
      </c>
      <c r="B6" s="12" t="s">
        <v>27</v>
      </c>
      <c r="C6" s="37"/>
      <c r="D6" s="12">
        <v>286.92</v>
      </c>
      <c r="E6">
        <f>C2-D6</f>
        <v>2.3599999999999568</v>
      </c>
      <c r="F6">
        <v>6</v>
      </c>
    </row>
    <row r="7" spans="1:7" x14ac:dyDescent="0.2">
      <c r="A7" s="12">
        <v>40</v>
      </c>
      <c r="B7" s="39" t="s">
        <v>28</v>
      </c>
      <c r="C7" s="37"/>
      <c r="D7" s="12">
        <v>289.11</v>
      </c>
      <c r="E7">
        <f>C2-D7</f>
        <v>0.16999999999995907</v>
      </c>
      <c r="F7" s="33" t="s">
        <v>43</v>
      </c>
    </row>
    <row r="8" spans="1:7" x14ac:dyDescent="0.2">
      <c r="A8" s="12">
        <v>39</v>
      </c>
      <c r="B8" s="39" t="s">
        <v>12</v>
      </c>
      <c r="C8" s="37"/>
      <c r="D8" s="12">
        <v>289.27999999999997</v>
      </c>
      <c r="E8">
        <f>C2-D8</f>
        <v>0</v>
      </c>
      <c r="F8" s="33"/>
    </row>
    <row r="9" spans="1:7" x14ac:dyDescent="0.2">
      <c r="A9" s="12">
        <v>8</v>
      </c>
      <c r="B9" s="12" t="s">
        <v>29</v>
      </c>
      <c r="C9" s="37"/>
      <c r="D9" s="12">
        <v>283.70999999999998</v>
      </c>
      <c r="E9">
        <f>C2-D9</f>
        <v>5.5699999999999932</v>
      </c>
      <c r="F9">
        <v>4</v>
      </c>
    </row>
    <row r="12" spans="1:7" x14ac:dyDescent="0.2">
      <c r="A12" s="33" t="s">
        <v>30</v>
      </c>
      <c r="B12" s="33"/>
      <c r="C12" s="33"/>
      <c r="D12" s="33"/>
    </row>
    <row r="13" spans="1:7" x14ac:dyDescent="0.2">
      <c r="A13" s="12" t="s">
        <v>19</v>
      </c>
      <c r="B13" s="12" t="s">
        <v>20</v>
      </c>
      <c r="C13" s="12" t="s">
        <v>21</v>
      </c>
      <c r="D13" s="12" t="s">
        <v>22</v>
      </c>
      <c r="G13" s="19"/>
    </row>
    <row r="14" spans="1:7" x14ac:dyDescent="0.2">
      <c r="A14" s="12">
        <v>8</v>
      </c>
      <c r="B14" s="12" t="s">
        <v>29</v>
      </c>
      <c r="C14" s="34">
        <v>283.70999999999998</v>
      </c>
      <c r="D14" s="12" t="s">
        <v>31</v>
      </c>
    </row>
    <row r="15" spans="1:7" x14ac:dyDescent="0.2">
      <c r="A15" s="12">
        <v>30</v>
      </c>
      <c r="B15" s="12" t="s">
        <v>23</v>
      </c>
      <c r="C15" s="35"/>
      <c r="D15" s="12">
        <v>279.42</v>
      </c>
    </row>
    <row r="16" spans="1:7" x14ac:dyDescent="0.2">
      <c r="A16" s="12">
        <v>28</v>
      </c>
      <c r="B16" s="12" t="s">
        <v>24</v>
      </c>
      <c r="C16" s="35"/>
      <c r="D16" s="12">
        <v>279.95999999999998</v>
      </c>
    </row>
    <row r="17" spans="1:5" x14ac:dyDescent="0.2">
      <c r="A17" s="12">
        <v>24</v>
      </c>
      <c r="B17" s="12" t="s">
        <v>25</v>
      </c>
      <c r="C17" s="35"/>
      <c r="D17" s="12">
        <v>276.5</v>
      </c>
    </row>
    <row r="18" spans="1:5" x14ac:dyDescent="0.2">
      <c r="A18" s="12">
        <v>29</v>
      </c>
      <c r="B18" s="12" t="s">
        <v>26</v>
      </c>
      <c r="C18" s="35"/>
      <c r="D18" s="12">
        <v>277.24</v>
      </c>
    </row>
    <row r="19" spans="1:5" x14ac:dyDescent="0.2">
      <c r="A19" s="12">
        <v>3</v>
      </c>
      <c r="B19" s="12" t="s">
        <v>27</v>
      </c>
      <c r="C19" s="35"/>
      <c r="D19" s="12">
        <v>282.3</v>
      </c>
    </row>
    <row r="20" spans="1:5" x14ac:dyDescent="0.2">
      <c r="A20" s="12">
        <v>40</v>
      </c>
      <c r="B20" s="12" t="s">
        <v>28</v>
      </c>
      <c r="C20" s="35"/>
      <c r="D20" s="12">
        <v>283.67</v>
      </c>
    </row>
    <row r="21" spans="1:5" x14ac:dyDescent="0.2">
      <c r="A21" s="12">
        <v>39</v>
      </c>
      <c r="B21" s="12" t="s">
        <v>12</v>
      </c>
      <c r="C21" s="36"/>
      <c r="D21" s="12">
        <v>283.70999999999998</v>
      </c>
    </row>
    <row r="23" spans="1:5" x14ac:dyDescent="0.2">
      <c r="A23" s="12" t="s">
        <v>34</v>
      </c>
      <c r="B23" s="15" t="s">
        <v>40</v>
      </c>
      <c r="C23" s="15" t="s">
        <v>39</v>
      </c>
      <c r="D23" s="15" t="s">
        <v>41</v>
      </c>
      <c r="E23" s="15" t="s">
        <v>39</v>
      </c>
    </row>
    <row r="24" spans="1:5" x14ac:dyDescent="0.2">
      <c r="A24" s="20" t="s">
        <v>35</v>
      </c>
      <c r="B24" s="15">
        <v>0.96250000000000002</v>
      </c>
      <c r="C24" s="34">
        <v>263.49</v>
      </c>
      <c r="D24" s="15">
        <v>0.96250000000000002</v>
      </c>
      <c r="E24" s="34">
        <v>261.57</v>
      </c>
    </row>
    <row r="25" spans="1:5" x14ac:dyDescent="0.2">
      <c r="A25" s="12" t="s">
        <v>36</v>
      </c>
      <c r="B25" s="15">
        <v>0.96250000000000002</v>
      </c>
      <c r="C25" s="35"/>
      <c r="D25" s="15">
        <v>0.9</v>
      </c>
      <c r="E25" s="35"/>
    </row>
    <row r="26" spans="1:5" x14ac:dyDescent="0.2">
      <c r="A26" s="12" t="s">
        <v>37</v>
      </c>
      <c r="B26" s="15">
        <v>0.96250000000000002</v>
      </c>
      <c r="C26" s="35"/>
      <c r="D26" s="15">
        <v>0.9</v>
      </c>
      <c r="E26" s="35"/>
    </row>
    <row r="27" spans="1:5" x14ac:dyDescent="0.2">
      <c r="A27" s="12" t="s">
        <v>38</v>
      </c>
      <c r="B27" s="15">
        <v>0.96250000000000002</v>
      </c>
      <c r="C27" s="36"/>
      <c r="D27" s="15">
        <v>0.9</v>
      </c>
      <c r="E27" s="36"/>
    </row>
  </sheetData>
  <mergeCells count="6">
    <mergeCell ref="F7:F8"/>
    <mergeCell ref="A12:D12"/>
    <mergeCell ref="C24:C27"/>
    <mergeCell ref="E24:E27"/>
    <mergeCell ref="C14:C21"/>
    <mergeCell ref="C2:C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 sensitivity(ram 345)</vt:lpstr>
      <vt:lpstr>ram345</vt:lpstr>
      <vt:lpstr>phase shifter</vt:lpstr>
      <vt:lpstr>LTC</vt:lpstr>
      <vt:lpstr>capacitors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Siwen Ding</dc:creator>
  <cp:lastModifiedBy>Siwen Ding</cp:lastModifiedBy>
  <dcterms:created xsi:type="dcterms:W3CDTF">2023-10-19T08:36:35Z</dcterms:created>
  <dcterms:modified xsi:type="dcterms:W3CDTF">2023-11-03T13:36:19Z</dcterms:modified>
</cp:coreProperties>
</file>